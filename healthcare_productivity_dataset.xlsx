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6" yWindow="600" windowWidth="15996" windowHeight="7092"/>
  </bookViews>
  <sheets>
    <sheet name="Raw_Data" sheetId="1" r:id="rId1"/>
    <sheet name="Dashboard" sheetId="2" r:id="rId2"/>
    <sheet name="Dept_Analysis" sheetId="3" r:id="rId3"/>
    <sheet name="Weekly_Pivot" sheetId="4" r:id="rId4"/>
    <sheet name="Department_Week_Analysis" sheetId="5" r:id="rId5"/>
    <sheet name="Employee_Ranking" sheetId="6" r:id="rId6"/>
  </sheets>
  <calcPr calcId="144525"/>
  <pivotCaches>
    <pivotCache cacheId="0" r:id="rId7"/>
  </pivotCaches>
</workbook>
</file>

<file path=xl/calcChain.xml><?xml version="1.0" encoding="utf-8"?>
<calcChain xmlns="http://schemas.openxmlformats.org/spreadsheetml/2006/main">
  <c r="A4" i="6" l="1"/>
  <c r="A5" i="6"/>
  <c r="A6" i="6"/>
  <c r="A7" i="6"/>
  <c r="A8" i="6"/>
  <c r="A13" i="6"/>
  <c r="A10" i="6"/>
  <c r="A9" i="6"/>
  <c r="A12" i="6"/>
  <c r="A11" i="6"/>
  <c r="D6" i="2"/>
  <c r="C6" i="2"/>
  <c r="B6" i="2"/>
  <c r="A6" i="2"/>
</calcChain>
</file>

<file path=xl/sharedStrings.xml><?xml version="1.0" encoding="utf-8"?>
<sst xmlns="http://schemas.openxmlformats.org/spreadsheetml/2006/main" count="463" uniqueCount="142">
  <si>
    <t>Employee_ID</t>
  </si>
  <si>
    <t>Employee_Name</t>
  </si>
  <si>
    <t>Department</t>
  </si>
  <si>
    <t>Week</t>
  </si>
  <si>
    <t>Cases_Reviewed</t>
  </si>
  <si>
    <t>Accuracy_Percentage</t>
  </si>
  <si>
    <t>E001</t>
  </si>
  <si>
    <t>Dinesh</t>
  </si>
  <si>
    <t>Quality</t>
  </si>
  <si>
    <t>Week 1</t>
  </si>
  <si>
    <t>E002</t>
  </si>
  <si>
    <t>Ravi</t>
  </si>
  <si>
    <t>Week 2</t>
  </si>
  <si>
    <t>E003</t>
  </si>
  <si>
    <t>Dental</t>
  </si>
  <si>
    <t>Week 3</t>
  </si>
  <si>
    <t>E004</t>
  </si>
  <si>
    <t>Arun</t>
  </si>
  <si>
    <t>E005</t>
  </si>
  <si>
    <t>Kumar</t>
  </si>
  <si>
    <t>E006</t>
  </si>
  <si>
    <t>E007</t>
  </si>
  <si>
    <t>Operations</t>
  </si>
  <si>
    <t>E008</t>
  </si>
  <si>
    <t>Week 4</t>
  </si>
  <si>
    <t>E009</t>
  </si>
  <si>
    <t>E010</t>
  </si>
  <si>
    <t>E011</t>
  </si>
  <si>
    <t>E012</t>
  </si>
  <si>
    <t>E013</t>
  </si>
  <si>
    <t>Vijay</t>
  </si>
  <si>
    <t>E014</t>
  </si>
  <si>
    <t>E015</t>
  </si>
  <si>
    <t>Ajay</t>
  </si>
  <si>
    <t>E016</t>
  </si>
  <si>
    <t>E017</t>
  </si>
  <si>
    <t>E018</t>
  </si>
  <si>
    <t>E019</t>
  </si>
  <si>
    <t>Manoj</t>
  </si>
  <si>
    <t>E020</t>
  </si>
  <si>
    <t>E021</t>
  </si>
  <si>
    <t>E022</t>
  </si>
  <si>
    <t>E023</t>
  </si>
  <si>
    <t>E024</t>
  </si>
  <si>
    <t>Karthik</t>
  </si>
  <si>
    <t>E025</t>
  </si>
  <si>
    <t>Praveen</t>
  </si>
  <si>
    <t>E026</t>
  </si>
  <si>
    <t>E027</t>
  </si>
  <si>
    <t>E028</t>
  </si>
  <si>
    <t>E029</t>
  </si>
  <si>
    <t>E030</t>
  </si>
  <si>
    <t>E031</t>
  </si>
  <si>
    <t>E032</t>
  </si>
  <si>
    <t>Suresh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</si>
  <si>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</si>
  <si>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</si>
  <si>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</si>
  <si>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</si>
  <si>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</si>
  <si>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</si>
  <si>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</si>
  <si>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</si>
  <si>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</si>
  <si>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</si>
  <si>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</si>
  <si>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</si>
  <si>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</si>
  <si>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</si>
  <si>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</si>
  <si>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</si>
  <si>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</si>
  <si>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</si>
  <si>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</si>
  <si>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</si>
  <si>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</si>
  <si>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</si>
  <si>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</si>
  <si>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</si>
  <si>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</si>
  <si>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</si>
  <si>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</si>
  <si>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</si>
  <si>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</si>
  <si>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</si>
  <si>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</si>
  <si>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</si>
  <si>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</si>
  <si>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</si>
  <si>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</si>
  <si>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</si>
  <si>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</si>
  <si>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</si>
  <si>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</si>
  <si>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</si>
  <si>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</si>
  <si>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</si>
  <si>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</si>
  <si>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</si>
  <si>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</si>
  <si>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</si>
  <si>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</si>
  <si>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</si>
  <si>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</si>
  <si>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</si>
  <si>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</si>
  <si>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</si>
  <si>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</si>
  <si>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</si>
  <si>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</si>
  <si>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</si>
  <si>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</si>
  <si>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</si>
  <si>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</si>
  <si>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</si>
  <si>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</si>
  <si>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</si>
  <si>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</si>
  <si>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</si>
  <si>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</si>
  <si>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</si>
  <si>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</si>
  <si>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</si>
  <si>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Total Cases Reviewed</t>
  </si>
  <si>
    <t>Average Accuracy</t>
  </si>
  <si>
    <t>Highest Accuracy</t>
  </si>
  <si>
    <t>Lowest Accuracy</t>
  </si>
  <si>
    <t>Row Labels</t>
  </si>
  <si>
    <t>Grand Total</t>
  </si>
  <si>
    <t>Sum of Cases_Reviewed</t>
  </si>
  <si>
    <t>Average of Accuracy_Percentage</t>
  </si>
  <si>
    <t>Column Labels</t>
  </si>
  <si>
    <t>Department Performance Analysis</t>
  </si>
  <si>
    <t>Weekly Performance Analysis</t>
  </si>
  <si>
    <t>Department vs Week Workload Analysis</t>
  </si>
  <si>
    <t xml:space="preserve">Employee Ranking Insights </t>
  </si>
  <si>
    <t>Top Accuracy Performer: Dinesh (98.10%)</t>
  </si>
  <si>
    <t>Highest Workload: Manoj (1865 Cases)</t>
  </si>
  <si>
    <t>Strong Balanced Performers: Kumar and Ravi</t>
  </si>
  <si>
    <t>Employee Performance Dashboard</t>
  </si>
  <si>
    <t>Rank</t>
  </si>
  <si>
    <t>Employee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</si>
</sst>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3" borderId="1" xfId="0" applyFont="1" applyFill="1" applyBorder="1"/>
    <xf numFmtId="2" fontId="0" fillId="0" borderId="0" xfId="0" applyNumberFormat="1"/>
    <xf numFmtId="0" fontId="4" fillId="0" borderId="2" xfId="0" applyFont="1" applyBorder="1" applyAlignment="1">
      <alignment horizontal="center" vertical="center" wrapText="1"/>
    </xf>
    <xf numFmtId="0" fontId="3" fillId="0" borderId="2" xfId="0" applyNumberFormat="1" applyFont="1" applyBorder="1" applyAlignment="1">
      <alignment horizontal="center" wrapText="1"/>
    </xf>
    <xf numFmtId="0" fontId="3" fillId="4" borderId="2" xfId="0" applyNumberFormat="1" applyFont="1" applyFill="1" applyBorder="1" applyAlignment="1">
      <alignment horizontal="center" wrapText="1"/>
    </xf>
    <xf numFmtId="0" fontId="3" fillId="5" borderId="2" xfId="0" applyNumberFormat="1" applyFont="1" applyFill="1" applyBorder="1" applyAlignment="1">
      <alignment horizontal="center" wrapText="1"/>
    </xf>
    <xf numFmtId="0" fontId="3" fillId="6" borderId="2" xfId="0" applyNumberFormat="1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numFmt numFmtId="2" formatCode="0.00"/>
    </dxf>
    <dxf>
      <numFmt numFmtId="2" formatCode="0.00"/>
    </dxf>
    <dxf>
      <fill>
        <patternFill>
          <bgColor theme="6" tint="0.59996337778862885"/>
        </patternFill>
      </fill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55168416447944"/>
          <c:y val="7.407407407407407E-2"/>
          <c:w val="0.62662292213473314"/>
          <c:h val="0.83309419655876349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Dept_Analysis!$A$11:$A$13</c:f>
              <c:strCache>
                <c:ptCount val="3"/>
                <c:pt idx="0">
                  <c:v>Dental</c:v>
                </c:pt>
                <c:pt idx="1">
                  <c:v>Operations</c:v>
                </c:pt>
                <c:pt idx="2">
                  <c:v>Quality</c:v>
                </c:pt>
              </c:strCache>
            </c:strRef>
          </c:cat>
          <c:val>
            <c:numRef>
              <c:f>Dept_Analysis!$B$11:$B$13</c:f>
              <c:numCache>
                <c:formatCode>General</c:formatCode>
                <c:ptCount val="3"/>
                <c:pt idx="0">
                  <c:v>4527</c:v>
                </c:pt>
                <c:pt idx="1">
                  <c:v>2873</c:v>
                </c:pt>
                <c:pt idx="2">
                  <c:v>4182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743616"/>
        <c:axId val="161807744"/>
      </c:barChart>
      <c:catAx>
        <c:axId val="1617436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61807744"/>
        <c:crosses val="autoZero"/>
        <c:auto val="1"/>
        <c:lblAlgn val="ctr"/>
        <c:lblOffset val="100"/>
        <c:noMultiLvlLbl val="0"/>
      </c:catAx>
      <c:valAx>
        <c:axId val="16180774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617436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9</xdr:row>
      <xdr:rowOff>53340</xdr:rowOff>
    </xdr:from>
    <xdr:to>
      <xdr:col>7</xdr:col>
      <xdr:colOff>518160</xdr:colOff>
      <xdr:row>24</xdr:row>
      <xdr:rowOff>53340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Keerthika" refreshedDate="46195.578770949076" createdVersion="4" refreshedVersion="4" minRefreshableVersion="3" recordCount="100">
  <cacheSource type="worksheet">
    <worksheetSource ref="A1:F101" sheet="Raw_Data"/>
  </cacheSource>
  <cacheFields count="6">
    <cacheField name="Employee_ID" numFmtId="0">
      <sharedItems/>
    </cacheField>
    <cacheField name="Employee_Name" numFmtId="0">
      <sharedItems count="10">
        <s v="Dinesh"/>
        <s v="Ravi"/>
        <s v="Arun"/>
        <s v="Kumar"/>
        <s v="Vijay"/>
        <s v="Ajay"/>
        <s v="Manoj"/>
        <s v="Karthik"/>
        <s v="Praveen"/>
        <s v="Suresh"/>
      </sharedItems>
    </cacheField>
    <cacheField name="Department" numFmtId="0">
      <sharedItems count="3">
        <s v="Quality"/>
        <s v="Dental"/>
        <s v="Operations"/>
      </sharedItems>
    </cacheField>
    <cacheField name="Week" numFmtId="0">
      <sharedItems count="4">
        <s v="Week 1"/>
        <s v="Week 2"/>
        <s v="Week 3"/>
        <s v="Week 4"/>
      </sharedItems>
    </cacheField>
    <cacheField name="Cases_Reviewed" numFmtId="0">
      <sharedItems containsSemiMixedTypes="0" containsString="0" containsNumber="1" containsInteger="1" minValue="82" maxValue="150"/>
    </cacheField>
    <cacheField name="Accuracy_Percentage" numFmtId="0">
      <sharedItems containsSemiMixedTypes="0" containsString="0" containsNumber="1" containsInteger="1" minValue="9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s v="E001"/>
    <x v="0"/>
    <x v="0"/>
    <x v="0"/>
    <n v="94"/>
    <n v="96"/>
  </r>
  <r>
    <s v="E002"/>
    <x v="1"/>
    <x v="0"/>
    <x v="1"/>
    <n v="132"/>
    <n v="96"/>
  </r>
  <r>
    <s v="E003"/>
    <x v="1"/>
    <x v="1"/>
    <x v="2"/>
    <n v="99"/>
    <n v="99"/>
  </r>
  <r>
    <s v="E004"/>
    <x v="2"/>
    <x v="0"/>
    <x v="0"/>
    <n v="149"/>
    <n v="94"/>
  </r>
  <r>
    <s v="E005"/>
    <x v="3"/>
    <x v="0"/>
    <x v="2"/>
    <n v="148"/>
    <n v="100"/>
  </r>
  <r>
    <s v="E006"/>
    <x v="3"/>
    <x v="1"/>
    <x v="0"/>
    <n v="133"/>
    <n v="98"/>
  </r>
  <r>
    <s v="E007"/>
    <x v="3"/>
    <x v="2"/>
    <x v="2"/>
    <n v="131"/>
    <n v="100"/>
  </r>
  <r>
    <s v="E008"/>
    <x v="0"/>
    <x v="1"/>
    <x v="3"/>
    <n v="92"/>
    <n v="100"/>
  </r>
  <r>
    <s v="E009"/>
    <x v="3"/>
    <x v="0"/>
    <x v="2"/>
    <n v="101"/>
    <n v="94"/>
  </r>
  <r>
    <s v="E010"/>
    <x v="1"/>
    <x v="2"/>
    <x v="0"/>
    <n v="109"/>
    <n v="97"/>
  </r>
  <r>
    <s v="E011"/>
    <x v="3"/>
    <x v="0"/>
    <x v="2"/>
    <n v="130"/>
    <n v="100"/>
  </r>
  <r>
    <s v="E012"/>
    <x v="2"/>
    <x v="1"/>
    <x v="0"/>
    <n v="84"/>
    <n v="93"/>
  </r>
  <r>
    <s v="E013"/>
    <x v="4"/>
    <x v="1"/>
    <x v="2"/>
    <n v="130"/>
    <n v="92"/>
  </r>
  <r>
    <s v="E014"/>
    <x v="2"/>
    <x v="1"/>
    <x v="0"/>
    <n v="88"/>
    <n v="94"/>
  </r>
  <r>
    <s v="E015"/>
    <x v="5"/>
    <x v="2"/>
    <x v="2"/>
    <n v="86"/>
    <n v="93"/>
  </r>
  <r>
    <s v="E016"/>
    <x v="0"/>
    <x v="1"/>
    <x v="3"/>
    <n v="131"/>
    <n v="96"/>
  </r>
  <r>
    <s v="E017"/>
    <x v="1"/>
    <x v="2"/>
    <x v="2"/>
    <n v="115"/>
    <n v="96"/>
  </r>
  <r>
    <s v="E018"/>
    <x v="5"/>
    <x v="1"/>
    <x v="2"/>
    <n v="88"/>
    <n v="93"/>
  </r>
  <r>
    <s v="E019"/>
    <x v="6"/>
    <x v="0"/>
    <x v="0"/>
    <n v="117"/>
    <n v="93"/>
  </r>
  <r>
    <s v="E020"/>
    <x v="1"/>
    <x v="0"/>
    <x v="2"/>
    <n v="139"/>
    <n v="100"/>
  </r>
  <r>
    <s v="E021"/>
    <x v="1"/>
    <x v="1"/>
    <x v="0"/>
    <n v="87"/>
    <n v="97"/>
  </r>
  <r>
    <s v="E022"/>
    <x v="5"/>
    <x v="0"/>
    <x v="0"/>
    <n v="137"/>
    <n v="94"/>
  </r>
  <r>
    <s v="E023"/>
    <x v="1"/>
    <x v="1"/>
    <x v="0"/>
    <n v="139"/>
    <n v="99"/>
  </r>
  <r>
    <s v="E024"/>
    <x v="7"/>
    <x v="1"/>
    <x v="2"/>
    <n v="88"/>
    <n v="93"/>
  </r>
  <r>
    <s v="E025"/>
    <x v="8"/>
    <x v="0"/>
    <x v="2"/>
    <n v="116"/>
    <n v="96"/>
  </r>
  <r>
    <s v="E026"/>
    <x v="4"/>
    <x v="2"/>
    <x v="0"/>
    <n v="145"/>
    <n v="94"/>
  </r>
  <r>
    <s v="E027"/>
    <x v="3"/>
    <x v="0"/>
    <x v="0"/>
    <n v="84"/>
    <n v="95"/>
  </r>
  <r>
    <s v="E028"/>
    <x v="3"/>
    <x v="0"/>
    <x v="2"/>
    <n v="148"/>
    <n v="94"/>
  </r>
  <r>
    <s v="E029"/>
    <x v="5"/>
    <x v="2"/>
    <x v="2"/>
    <n v="99"/>
    <n v="99"/>
  </r>
  <r>
    <s v="E030"/>
    <x v="2"/>
    <x v="0"/>
    <x v="3"/>
    <n v="112"/>
    <n v="94"/>
  </r>
  <r>
    <s v="E031"/>
    <x v="4"/>
    <x v="1"/>
    <x v="0"/>
    <n v="102"/>
    <n v="97"/>
  </r>
  <r>
    <s v="E032"/>
    <x v="9"/>
    <x v="0"/>
    <x v="3"/>
    <n v="119"/>
    <n v="97"/>
  </r>
  <r>
    <s v="E033"/>
    <x v="6"/>
    <x v="1"/>
    <x v="0"/>
    <n v="104"/>
    <n v="93"/>
  </r>
  <r>
    <s v="E034"/>
    <x v="6"/>
    <x v="1"/>
    <x v="2"/>
    <n v="101"/>
    <n v="97"/>
  </r>
  <r>
    <s v="E035"/>
    <x v="9"/>
    <x v="1"/>
    <x v="3"/>
    <n v="84"/>
    <n v="95"/>
  </r>
  <r>
    <s v="E036"/>
    <x v="6"/>
    <x v="1"/>
    <x v="2"/>
    <n v="147"/>
    <n v="97"/>
  </r>
  <r>
    <s v="E037"/>
    <x v="6"/>
    <x v="1"/>
    <x v="3"/>
    <n v="135"/>
    <n v="98"/>
  </r>
  <r>
    <s v="E038"/>
    <x v="9"/>
    <x v="0"/>
    <x v="2"/>
    <n v="126"/>
    <n v="99"/>
  </r>
  <r>
    <s v="E039"/>
    <x v="6"/>
    <x v="0"/>
    <x v="3"/>
    <n v="117"/>
    <n v="92"/>
  </r>
  <r>
    <s v="E040"/>
    <x v="1"/>
    <x v="0"/>
    <x v="0"/>
    <n v="150"/>
    <n v="92"/>
  </r>
  <r>
    <s v="E041"/>
    <x v="6"/>
    <x v="0"/>
    <x v="3"/>
    <n v="106"/>
    <n v="94"/>
  </r>
  <r>
    <s v="E042"/>
    <x v="6"/>
    <x v="0"/>
    <x v="0"/>
    <n v="111"/>
    <n v="96"/>
  </r>
  <r>
    <s v="E043"/>
    <x v="9"/>
    <x v="0"/>
    <x v="2"/>
    <n v="116"/>
    <n v="95"/>
  </r>
  <r>
    <s v="E044"/>
    <x v="6"/>
    <x v="0"/>
    <x v="3"/>
    <n v="123"/>
    <n v="100"/>
  </r>
  <r>
    <s v="E045"/>
    <x v="7"/>
    <x v="2"/>
    <x v="0"/>
    <n v="133"/>
    <n v="99"/>
  </r>
  <r>
    <s v="E046"/>
    <x v="8"/>
    <x v="1"/>
    <x v="3"/>
    <n v="113"/>
    <n v="93"/>
  </r>
  <r>
    <s v="E047"/>
    <x v="4"/>
    <x v="1"/>
    <x v="3"/>
    <n v="128"/>
    <n v="99"/>
  </r>
  <r>
    <s v="E048"/>
    <x v="7"/>
    <x v="2"/>
    <x v="2"/>
    <n v="133"/>
    <n v="96"/>
  </r>
  <r>
    <s v="E049"/>
    <x v="8"/>
    <x v="0"/>
    <x v="2"/>
    <n v="108"/>
    <n v="92"/>
  </r>
  <r>
    <s v="E050"/>
    <x v="3"/>
    <x v="1"/>
    <x v="2"/>
    <n v="85"/>
    <n v="96"/>
  </r>
  <r>
    <s v="E051"/>
    <x v="0"/>
    <x v="1"/>
    <x v="3"/>
    <n v="108"/>
    <n v="99"/>
  </r>
  <r>
    <s v="E052"/>
    <x v="4"/>
    <x v="2"/>
    <x v="1"/>
    <n v="108"/>
    <n v="100"/>
  </r>
  <r>
    <s v="E053"/>
    <x v="4"/>
    <x v="1"/>
    <x v="3"/>
    <n v="115"/>
    <n v="98"/>
  </r>
  <r>
    <s v="E054"/>
    <x v="0"/>
    <x v="2"/>
    <x v="0"/>
    <n v="122"/>
    <n v="100"/>
  </r>
  <r>
    <s v="E055"/>
    <x v="9"/>
    <x v="1"/>
    <x v="3"/>
    <n v="87"/>
    <n v="94"/>
  </r>
  <r>
    <s v="E056"/>
    <x v="8"/>
    <x v="2"/>
    <x v="1"/>
    <n v="90"/>
    <n v="97"/>
  </r>
  <r>
    <s v="E057"/>
    <x v="0"/>
    <x v="0"/>
    <x v="0"/>
    <n v="88"/>
    <n v="100"/>
  </r>
  <r>
    <s v="E058"/>
    <x v="8"/>
    <x v="1"/>
    <x v="0"/>
    <n v="103"/>
    <n v="97"/>
  </r>
  <r>
    <s v="E059"/>
    <x v="3"/>
    <x v="0"/>
    <x v="1"/>
    <n v="129"/>
    <n v="97"/>
  </r>
  <r>
    <s v="E060"/>
    <x v="9"/>
    <x v="0"/>
    <x v="1"/>
    <n v="83"/>
    <n v="94"/>
  </r>
  <r>
    <s v="E061"/>
    <x v="5"/>
    <x v="0"/>
    <x v="3"/>
    <n v="85"/>
    <n v="98"/>
  </r>
  <r>
    <s v="E062"/>
    <x v="6"/>
    <x v="1"/>
    <x v="0"/>
    <n v="83"/>
    <n v="99"/>
  </r>
  <r>
    <s v="E063"/>
    <x v="8"/>
    <x v="1"/>
    <x v="1"/>
    <n v="137"/>
    <n v="100"/>
  </r>
  <r>
    <s v="E064"/>
    <x v="2"/>
    <x v="1"/>
    <x v="2"/>
    <n v="145"/>
    <n v="92"/>
  </r>
  <r>
    <s v="E065"/>
    <x v="9"/>
    <x v="0"/>
    <x v="3"/>
    <n v="117"/>
    <n v="98"/>
  </r>
  <r>
    <s v="E066"/>
    <x v="7"/>
    <x v="2"/>
    <x v="2"/>
    <n v="118"/>
    <n v="94"/>
  </r>
  <r>
    <s v="E067"/>
    <x v="6"/>
    <x v="2"/>
    <x v="2"/>
    <n v="139"/>
    <n v="92"/>
  </r>
  <r>
    <s v="E068"/>
    <x v="2"/>
    <x v="2"/>
    <x v="1"/>
    <n v="133"/>
    <n v="96"/>
  </r>
  <r>
    <s v="E069"/>
    <x v="1"/>
    <x v="1"/>
    <x v="0"/>
    <n v="115"/>
    <n v="97"/>
  </r>
  <r>
    <s v="E070"/>
    <x v="8"/>
    <x v="1"/>
    <x v="0"/>
    <n v="111"/>
    <n v="96"/>
  </r>
  <r>
    <s v="E071"/>
    <x v="6"/>
    <x v="2"/>
    <x v="3"/>
    <n v="107"/>
    <n v="97"/>
  </r>
  <r>
    <s v="E072"/>
    <x v="6"/>
    <x v="1"/>
    <x v="2"/>
    <n v="115"/>
    <n v="95"/>
  </r>
  <r>
    <s v="E073"/>
    <x v="1"/>
    <x v="1"/>
    <x v="1"/>
    <n v="119"/>
    <n v="98"/>
  </r>
  <r>
    <s v="E074"/>
    <x v="3"/>
    <x v="2"/>
    <x v="1"/>
    <n v="139"/>
    <n v="95"/>
  </r>
  <r>
    <s v="E075"/>
    <x v="2"/>
    <x v="0"/>
    <x v="0"/>
    <n v="122"/>
    <n v="98"/>
  </r>
  <r>
    <s v="E076"/>
    <x v="7"/>
    <x v="2"/>
    <x v="0"/>
    <n v="125"/>
    <n v="92"/>
  </r>
  <r>
    <s v="E077"/>
    <x v="7"/>
    <x v="1"/>
    <x v="1"/>
    <n v="97"/>
    <n v="97"/>
  </r>
  <r>
    <s v="E078"/>
    <x v="6"/>
    <x v="2"/>
    <x v="0"/>
    <n v="136"/>
    <n v="99"/>
  </r>
  <r>
    <s v="E079"/>
    <x v="9"/>
    <x v="1"/>
    <x v="0"/>
    <n v="139"/>
    <n v="94"/>
  </r>
  <r>
    <s v="E080"/>
    <x v="5"/>
    <x v="2"/>
    <x v="3"/>
    <n v="150"/>
    <n v="95"/>
  </r>
  <r>
    <s v="E081"/>
    <x v="1"/>
    <x v="1"/>
    <x v="3"/>
    <n v="130"/>
    <n v="94"/>
  </r>
  <r>
    <s v="E082"/>
    <x v="9"/>
    <x v="0"/>
    <x v="1"/>
    <n v="82"/>
    <n v="95"/>
  </r>
  <r>
    <s v="E083"/>
    <x v="8"/>
    <x v="0"/>
    <x v="3"/>
    <n v="128"/>
    <n v="95"/>
  </r>
  <r>
    <s v="E084"/>
    <x v="3"/>
    <x v="2"/>
    <x v="1"/>
    <n v="125"/>
    <n v="94"/>
  </r>
  <r>
    <s v="E085"/>
    <x v="8"/>
    <x v="1"/>
    <x v="1"/>
    <n v="118"/>
    <n v="95"/>
  </r>
  <r>
    <s v="E086"/>
    <x v="4"/>
    <x v="2"/>
    <x v="3"/>
    <n v="86"/>
    <n v="94"/>
  </r>
  <r>
    <s v="E087"/>
    <x v="1"/>
    <x v="0"/>
    <x v="1"/>
    <n v="137"/>
    <n v="95"/>
  </r>
  <r>
    <s v="E088"/>
    <x v="6"/>
    <x v="1"/>
    <x v="0"/>
    <n v="85"/>
    <n v="97"/>
  </r>
  <r>
    <s v="E089"/>
    <x v="0"/>
    <x v="1"/>
    <x v="2"/>
    <n v="85"/>
    <n v="97"/>
  </r>
  <r>
    <s v="E090"/>
    <x v="9"/>
    <x v="1"/>
    <x v="2"/>
    <n v="148"/>
    <n v="98"/>
  </r>
  <r>
    <s v="E091"/>
    <x v="0"/>
    <x v="0"/>
    <x v="1"/>
    <n v="130"/>
    <n v="98"/>
  </r>
  <r>
    <s v="E092"/>
    <x v="9"/>
    <x v="2"/>
    <x v="2"/>
    <n v="113"/>
    <n v="98"/>
  </r>
  <r>
    <s v="E093"/>
    <x v="0"/>
    <x v="0"/>
    <x v="3"/>
    <n v="125"/>
    <n v="96"/>
  </r>
  <r>
    <s v="E094"/>
    <x v="6"/>
    <x v="1"/>
    <x v="2"/>
    <n v="139"/>
    <n v="97"/>
  </r>
  <r>
    <s v="E095"/>
    <x v="2"/>
    <x v="1"/>
    <x v="3"/>
    <n v="83"/>
    <n v="98"/>
  </r>
  <r>
    <s v="E096"/>
    <x v="2"/>
    <x v="0"/>
    <x v="1"/>
    <n v="140"/>
    <n v="97"/>
  </r>
  <r>
    <s v="E097"/>
    <x v="4"/>
    <x v="2"/>
    <x v="2"/>
    <n v="121"/>
    <n v="93"/>
  </r>
  <r>
    <s v="E098"/>
    <x v="3"/>
    <x v="1"/>
    <x v="3"/>
    <n v="107"/>
    <n v="98"/>
  </r>
  <r>
    <s v="E099"/>
    <x v="1"/>
    <x v="2"/>
    <x v="3"/>
    <n v="110"/>
    <n v="97"/>
  </r>
  <r>
    <s v="E100"/>
    <x v="0"/>
    <x v="0"/>
    <x v="2"/>
    <n v="133"/>
    <n v="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A3:C7" firstHeaderRow="0" firstDataRow="1" firstDataCol="1"/>
  <pivotFields count="6"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ses_Reviewed" fld="4" baseField="0" baseItem="0"/>
    <dataField name="Average of Accuracy_Percentage" fld="5" subtotal="average" baseField="2" baseItem="0"/>
  </dataFields>
  <formats count="1">
    <format dxfId="3">
      <pivotArea collapsedLevelsAreSubtotals="1" fieldPosition="0">
        <references count="2">
          <reference field="4294967294" count="1" selected="0">
            <x v="1"/>
          </reference>
          <reference field="2" count="0"/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C8" firstHeaderRow="0" firstDataRow="1" firstDataCol="1"/>
  <pivotFields count="6"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dataField="1"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ses_Reviewed" fld="4" baseField="0" baseItem="0"/>
    <dataField name="Average of Accuracy_Percentage" fld="5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F8" firstHeaderRow="1" firstDataRow="2" firstDataCol="1"/>
  <pivotFields count="6"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dataFiel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Cases_Reviewed" fld="4" baseField="0" baseItem="0"/>
  </dataField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3">
              <x v="0"/>
              <x v="1"/>
              <x v="2"/>
            </reference>
            <reference field="3" count="4" selected="0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Employee Name">
  <location ref="B3:D14" firstHeaderRow="0" firstDataRow="1" firstDataCol="1"/>
  <pivotFields count="6">
    <pivotField showAll="0"/>
    <pivotField axis="axisRow" showAll="0" sortType="descending">
      <items count="11">
        <item x="5"/>
        <item x="2"/>
        <item x="0"/>
        <item x="7"/>
        <item x="3"/>
        <item x="6"/>
        <item x="8"/>
        <item x="1"/>
        <item x="9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dataField="1" showAll="0"/>
  </pivotFields>
  <rowFields count="1">
    <field x="1"/>
  </rowFields>
  <rowItems count="11">
    <i>
      <x v="5"/>
    </i>
    <i>
      <x v="7"/>
    </i>
    <i>
      <x v="4"/>
    </i>
    <i>
      <x v="8"/>
    </i>
    <i>
      <x v="2"/>
    </i>
    <i>
      <x v="1"/>
    </i>
    <i>
      <x v="6"/>
    </i>
    <i>
      <x v="9"/>
    </i>
    <i>
      <x v="3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ses_Reviewed" fld="4" baseField="0" baseItem="0"/>
    <dataField name="Average of Accuracy_Percentage" fld="5" subtotal="average" baseField="1" baseItem="0" numFmtId="2"/>
  </dataFields>
  <formats count="2"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workbookViewId="0">
      <selection activeCell="G14" sqref="G14"/>
    </sheetView>
  </sheetViews>
  <sheetFormatPr defaultRowHeight="14.4" x14ac:dyDescent="0.3"/>
  <cols>
    <col min="3" max="3" width="20.88671875" customWidth="1"/>
    <col min="5" max="5" width="17.88671875" customWidth="1"/>
    <col min="6" max="6" width="21.6640625" customWidth="1"/>
    <col min="7" max="7" width="12.4414062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</row>
    <row r="2" spans="1:7" x14ac:dyDescent="0.3">
      <c r="A2" t="s">
        <v>6</v>
      </c>
      <c r="B2" t="s">
        <v>7</v>
      </c>
      <c r="C2" t="s">
        <v>8</v>
      </c>
      <c r="D2" t="s">
        <v>9</v>
      </c>
      <c r="E2">
        <v>94</v>
      </c>
      <c r="F2">
        <v>96</v>
      </c>
    </row>
    <row r="3" spans="1:7" x14ac:dyDescent="0.3">
      <c r="A3" t="s">
        <v>10</v>
      </c>
      <c r="B3" t="s">
        <v>11</v>
      </c>
      <c r="C3" t="s">
        <v>8</v>
      </c>
      <c r="D3" t="s">
        <v>12</v>
      </c>
      <c r="E3">
        <v>132</v>
      </c>
      <c r="F3">
        <v>96</v>
      </c>
    </row>
    <row r="4" spans="1:7" x14ac:dyDescent="0.3">
      <c r="A4" t="s">
        <v>13</v>
      </c>
      <c r="B4" t="s">
        <v>11</v>
      </c>
      <c r="C4" t="s">
        <v>14</v>
      </c>
      <c r="D4" t="s">
        <v>15</v>
      </c>
      <c r="E4">
        <v>99</v>
      </c>
      <c r="F4">
        <v>99</v>
      </c>
    </row>
    <row r="5" spans="1:7" x14ac:dyDescent="0.3">
      <c r="A5" t="s">
        <v>16</v>
      </c>
      <c r="B5" t="s">
        <v>17</v>
      </c>
      <c r="C5" t="s">
        <v>8</v>
      </c>
      <c r="D5" t="s">
        <v>9</v>
      </c>
      <c r="E5">
        <v>149</v>
      </c>
      <c r="F5">
        <v>94</v>
      </c>
    </row>
    <row r="6" spans="1:7" x14ac:dyDescent="0.3">
      <c r="A6" t="s">
        <v>18</v>
      </c>
      <c r="B6" t="s">
        <v>19</v>
      </c>
      <c r="C6" t="s">
        <v>8</v>
      </c>
      <c r="D6" t="s">
        <v>15</v>
      </c>
      <c r="E6">
        <v>148</v>
      </c>
      <c r="F6">
        <v>100</v>
      </c>
    </row>
    <row r="7" spans="1:7" x14ac:dyDescent="0.3">
      <c r="A7" t="s">
        <v>20</v>
      </c>
      <c r="B7" t="s">
        <v>19</v>
      </c>
      <c r="C7" t="s">
        <v>14</v>
      </c>
      <c r="D7" t="s">
        <v>9</v>
      </c>
      <c r="E7">
        <v>133</v>
      </c>
      <c r="F7">
        <v>98</v>
      </c>
    </row>
    <row r="8" spans="1:7" x14ac:dyDescent="0.3">
      <c r="A8" t="s">
        <v>21</v>
      </c>
      <c r="B8" t="s">
        <v>19</v>
      </c>
      <c r="C8" t="s">
        <v>22</v>
      </c>
      <c r="D8" t="s">
        <v>15</v>
      </c>
      <c r="E8">
        <v>131</v>
      </c>
      <c r="F8">
        <v>100</v>
      </c>
    </row>
    <row r="9" spans="1:7" x14ac:dyDescent="0.3">
      <c r="A9" t="s">
        <v>23</v>
      </c>
      <c r="B9" t="s">
        <v>7</v>
      </c>
      <c r="C9" t="s">
        <v>14</v>
      </c>
      <c r="D9" t="s">
        <v>24</v>
      </c>
      <c r="E9">
        <v>92</v>
      </c>
      <c r="F9">
        <v>100</v>
      </c>
    </row>
    <row r="10" spans="1:7" x14ac:dyDescent="0.3">
      <c r="A10" t="s">
        <v>25</v>
      </c>
      <c r="B10" t="s">
        <v>19</v>
      </c>
      <c r="C10" t="s">
        <v>8</v>
      </c>
      <c r="D10" t="s">
        <v>15</v>
      </c>
      <c r="E10">
        <v>101</v>
      </c>
      <c r="F10">
        <v>94</v>
      </c>
    </row>
    <row r="11" spans="1:7" x14ac:dyDescent="0.3">
      <c r="A11" t="s">
        <v>26</v>
      </c>
      <c r="B11" t="s">
        <v>11</v>
      </c>
      <c r="C11" t="s">
        <v>22</v>
      </c>
      <c r="D11" t="s">
        <v>9</v>
      </c>
      <c r="E11">
        <v>109</v>
      </c>
      <c r="F11">
        <v>97</v>
      </c>
    </row>
    <row r="12" spans="1:7" x14ac:dyDescent="0.3">
      <c r="A12" t="s">
        <v>27</v>
      </c>
      <c r="B12" t="s">
        <v>19</v>
      </c>
      <c r="C12" t="s">
        <v>8</v>
      </c>
      <c r="D12" t="s">
        <v>15</v>
      </c>
      <c r="E12">
        <v>130</v>
      </c>
      <c r="F12">
        <v>100</v>
      </c>
    </row>
    <row r="13" spans="1:7" x14ac:dyDescent="0.3">
      <c r="A13" t="s">
        <v>28</v>
      </c>
      <c r="B13" t="s">
        <v>17</v>
      </c>
      <c r="C13" t="s">
        <v>14</v>
      </c>
      <c r="D13" t="s">
        <v>9</v>
      </c>
      <c r="E13">
        <v>84</v>
      </c>
      <c r="F13">
        <v>93</v>
      </c>
    </row>
    <row r="14" spans="1:7" x14ac:dyDescent="0.3">
      <c r="A14" t="s">
        <v>29</v>
      </c>
      <c r="B14" t="s">
        <v>30</v>
      </c>
      <c r="C14" t="s">
        <v>14</v>
      </c>
      <c r="D14" t="s">
        <v>15</v>
      </c>
      <c r="E14">
        <v>130</v>
      </c>
      <c r="F14">
        <v>92</v>
      </c>
    </row>
    <row r="15" spans="1:7" x14ac:dyDescent="0.3">
      <c r="A15" t="s">
        <v>31</v>
      </c>
      <c r="B15" t="s">
        <v>17</v>
      </c>
      <c r="C15" t="s">
        <v>14</v>
      </c>
      <c r="D15" t="s">
        <v>9</v>
      </c>
      <c r="E15">
        <v>88</v>
      </c>
      <c r="F15">
        <v>94</v>
      </c>
    </row>
    <row r="16" spans="1:7" x14ac:dyDescent="0.3">
      <c r="A16" t="s">
        <v>32</v>
      </c>
      <c r="B16" t="s">
        <v>33</v>
      </c>
      <c r="C16" t="s">
        <v>22</v>
      </c>
      <c r="D16" t="s">
        <v>15</v>
      </c>
      <c r="E16">
        <v>86</v>
      </c>
      <c r="F16">
        <v>93</v>
      </c>
    </row>
    <row r="17" spans="1:6" x14ac:dyDescent="0.3">
      <c r="A17" t="s">
        <v>34</v>
      </c>
      <c r="B17" t="s">
        <v>7</v>
      </c>
      <c r="C17" t="s">
        <v>14</v>
      </c>
      <c r="D17" t="s">
        <v>24</v>
      </c>
      <c r="E17">
        <v>131</v>
      </c>
      <c r="F17">
        <v>96</v>
      </c>
    </row>
    <row r="18" spans="1:6" x14ac:dyDescent="0.3">
      <c r="A18" t="s">
        <v>35</v>
      </c>
      <c r="B18" t="s">
        <v>11</v>
      </c>
      <c r="C18" t="s">
        <v>22</v>
      </c>
      <c r="D18" t="s">
        <v>15</v>
      </c>
      <c r="E18">
        <v>115</v>
      </c>
      <c r="F18">
        <v>96</v>
      </c>
    </row>
    <row r="19" spans="1:6" x14ac:dyDescent="0.3">
      <c r="A19" t="s">
        <v>36</v>
      </c>
      <c r="B19" t="s">
        <v>33</v>
      </c>
      <c r="C19" t="s">
        <v>14</v>
      </c>
      <c r="D19" t="s">
        <v>15</v>
      </c>
      <c r="E19">
        <v>88</v>
      </c>
      <c r="F19">
        <v>93</v>
      </c>
    </row>
    <row r="20" spans="1:6" x14ac:dyDescent="0.3">
      <c r="A20" t="s">
        <v>37</v>
      </c>
      <c r="B20" t="s">
        <v>38</v>
      </c>
      <c r="C20" t="s">
        <v>8</v>
      </c>
      <c r="D20" t="s">
        <v>9</v>
      </c>
      <c r="E20">
        <v>117</v>
      </c>
      <c r="F20">
        <v>93</v>
      </c>
    </row>
    <row r="21" spans="1:6" x14ac:dyDescent="0.3">
      <c r="A21" t="s">
        <v>39</v>
      </c>
      <c r="B21" t="s">
        <v>11</v>
      </c>
      <c r="C21" t="s">
        <v>8</v>
      </c>
      <c r="D21" t="s">
        <v>15</v>
      </c>
      <c r="E21">
        <v>139</v>
      </c>
      <c r="F21">
        <v>100</v>
      </c>
    </row>
    <row r="22" spans="1:6" x14ac:dyDescent="0.3">
      <c r="A22" t="s">
        <v>40</v>
      </c>
      <c r="B22" t="s">
        <v>11</v>
      </c>
      <c r="C22" t="s">
        <v>14</v>
      </c>
      <c r="D22" t="s">
        <v>9</v>
      </c>
      <c r="E22">
        <v>87</v>
      </c>
      <c r="F22">
        <v>97</v>
      </c>
    </row>
    <row r="23" spans="1:6" x14ac:dyDescent="0.3">
      <c r="A23" t="s">
        <v>41</v>
      </c>
      <c r="B23" t="s">
        <v>33</v>
      </c>
      <c r="C23" t="s">
        <v>8</v>
      </c>
      <c r="D23" t="s">
        <v>9</v>
      </c>
      <c r="E23">
        <v>137</v>
      </c>
      <c r="F23">
        <v>94</v>
      </c>
    </row>
    <row r="24" spans="1:6" x14ac:dyDescent="0.3">
      <c r="A24" t="s">
        <v>42</v>
      </c>
      <c r="B24" t="s">
        <v>11</v>
      </c>
      <c r="C24" t="s">
        <v>14</v>
      </c>
      <c r="D24" t="s">
        <v>9</v>
      </c>
      <c r="E24">
        <v>139</v>
      </c>
      <c r="F24">
        <v>99</v>
      </c>
    </row>
    <row r="25" spans="1:6" x14ac:dyDescent="0.3">
      <c r="A25" t="s">
        <v>43</v>
      </c>
      <c r="B25" t="s">
        <v>44</v>
      </c>
      <c r="C25" t="s">
        <v>14</v>
      </c>
      <c r="D25" t="s">
        <v>15</v>
      </c>
      <c r="E25">
        <v>88</v>
      </c>
      <c r="F25">
        <v>93</v>
      </c>
    </row>
    <row r="26" spans="1:6" x14ac:dyDescent="0.3">
      <c r="A26" t="s">
        <v>45</v>
      </c>
      <c r="B26" t="s">
        <v>46</v>
      </c>
      <c r="C26" t="s">
        <v>8</v>
      </c>
      <c r="D26" t="s">
        <v>15</v>
      </c>
      <c r="E26">
        <v>116</v>
      </c>
      <c r="F26">
        <v>96</v>
      </c>
    </row>
    <row r="27" spans="1:6" x14ac:dyDescent="0.3">
      <c r="A27" t="s">
        <v>47</v>
      </c>
      <c r="B27" t="s">
        <v>30</v>
      </c>
      <c r="C27" t="s">
        <v>22</v>
      </c>
      <c r="D27" t="s">
        <v>9</v>
      </c>
      <c r="E27">
        <v>145</v>
      </c>
      <c r="F27">
        <v>94</v>
      </c>
    </row>
    <row r="28" spans="1:6" x14ac:dyDescent="0.3">
      <c r="A28" t="s">
        <v>48</v>
      </c>
      <c r="B28" t="s">
        <v>19</v>
      </c>
      <c r="C28" t="s">
        <v>8</v>
      </c>
      <c r="D28" t="s">
        <v>9</v>
      </c>
      <c r="E28">
        <v>84</v>
      </c>
      <c r="F28">
        <v>95</v>
      </c>
    </row>
    <row r="29" spans="1:6" x14ac:dyDescent="0.3">
      <c r="A29" t="s">
        <v>49</v>
      </c>
      <c r="B29" t="s">
        <v>19</v>
      </c>
      <c r="C29" t="s">
        <v>8</v>
      </c>
      <c r="D29" t="s">
        <v>15</v>
      </c>
      <c r="E29">
        <v>148</v>
      </c>
      <c r="F29">
        <v>94</v>
      </c>
    </row>
    <row r="30" spans="1:6" x14ac:dyDescent="0.3">
      <c r="A30" t="s">
        <v>50</v>
      </c>
      <c r="B30" t="s">
        <v>33</v>
      </c>
      <c r="C30" t="s">
        <v>22</v>
      </c>
      <c r="D30" t="s">
        <v>15</v>
      </c>
      <c r="E30">
        <v>99</v>
      </c>
      <c r="F30">
        <v>99</v>
      </c>
    </row>
    <row r="31" spans="1:6" x14ac:dyDescent="0.3">
      <c r="A31" t="s">
        <v>51</v>
      </c>
      <c r="B31" t="s">
        <v>17</v>
      </c>
      <c r="C31" t="s">
        <v>8</v>
      </c>
      <c r="D31" t="s">
        <v>24</v>
      </c>
      <c r="E31">
        <v>112</v>
      </c>
      <c r="F31">
        <v>94</v>
      </c>
    </row>
    <row r="32" spans="1:6" x14ac:dyDescent="0.3">
      <c r="A32" t="s">
        <v>52</v>
      </c>
      <c r="B32" t="s">
        <v>30</v>
      </c>
      <c r="C32" t="s">
        <v>14</v>
      </c>
      <c r="D32" t="s">
        <v>9</v>
      </c>
      <c r="E32">
        <v>102</v>
      </c>
      <c r="F32">
        <v>97</v>
      </c>
    </row>
    <row r="33" spans="1:6" x14ac:dyDescent="0.3">
      <c r="A33" t="s">
        <v>53</v>
      </c>
      <c r="B33" t="s">
        <v>54</v>
      </c>
      <c r="C33" t="s">
        <v>8</v>
      </c>
      <c r="D33" t="s">
        <v>24</v>
      </c>
      <c r="E33">
        <v>119</v>
      </c>
      <c r="F33">
        <v>97</v>
      </c>
    </row>
    <row r="34" spans="1:6" x14ac:dyDescent="0.3">
      <c r="A34" t="s">
        <v>55</v>
      </c>
      <c r="B34" t="s">
        <v>38</v>
      </c>
      <c r="C34" t="s">
        <v>14</v>
      </c>
      <c r="D34" t="s">
        <v>9</v>
      </c>
      <c r="E34">
        <v>104</v>
      </c>
      <c r="F34">
        <v>93</v>
      </c>
    </row>
    <row r="35" spans="1:6" x14ac:dyDescent="0.3">
      <c r="A35" t="s">
        <v>56</v>
      </c>
      <c r="B35" t="s">
        <v>38</v>
      </c>
      <c r="C35" t="s">
        <v>14</v>
      </c>
      <c r="D35" t="s">
        <v>15</v>
      </c>
      <c r="E35">
        <v>101</v>
      </c>
      <c r="F35">
        <v>97</v>
      </c>
    </row>
    <row r="36" spans="1:6" x14ac:dyDescent="0.3">
      <c r="A36" t="s">
        <v>57</v>
      </c>
      <c r="B36" t="s">
        <v>54</v>
      </c>
      <c r="C36" t="s">
        <v>14</v>
      </c>
      <c r="D36" t="s">
        <v>24</v>
      </c>
      <c r="E36">
        <v>84</v>
      </c>
      <c r="F36">
        <v>95</v>
      </c>
    </row>
    <row r="37" spans="1:6" x14ac:dyDescent="0.3">
      <c r="A37" t="s">
        <v>58</v>
      </c>
      <c r="B37" t="s">
        <v>38</v>
      </c>
      <c r="C37" t="s">
        <v>14</v>
      </c>
      <c r="D37" t="s">
        <v>15</v>
      </c>
      <c r="E37">
        <v>147</v>
      </c>
      <c r="F37">
        <v>97</v>
      </c>
    </row>
    <row r="38" spans="1:6" x14ac:dyDescent="0.3">
      <c r="A38" t="s">
        <v>59</v>
      </c>
      <c r="B38" t="s">
        <v>38</v>
      </c>
      <c r="C38" t="s">
        <v>14</v>
      </c>
      <c r="D38" t="s">
        <v>24</v>
      </c>
      <c r="E38">
        <v>135</v>
      </c>
      <c r="F38">
        <v>98</v>
      </c>
    </row>
    <row r="39" spans="1:6" x14ac:dyDescent="0.3">
      <c r="A39" t="s">
        <v>60</v>
      </c>
      <c r="B39" t="s">
        <v>54</v>
      </c>
      <c r="C39" t="s">
        <v>8</v>
      </c>
      <c r="D39" t="s">
        <v>15</v>
      </c>
      <c r="E39">
        <v>126</v>
      </c>
      <c r="F39">
        <v>99</v>
      </c>
    </row>
    <row r="40" spans="1:6" x14ac:dyDescent="0.3">
      <c r="A40" t="s">
        <v>61</v>
      </c>
      <c r="B40" t="s">
        <v>38</v>
      </c>
      <c r="C40" t="s">
        <v>8</v>
      </c>
      <c r="D40" t="s">
        <v>24</v>
      </c>
      <c r="E40">
        <v>117</v>
      </c>
      <c r="F40">
        <v>92</v>
      </c>
    </row>
    <row r="41" spans="1:6" x14ac:dyDescent="0.3">
      <c r="A41" t="s">
        <v>62</v>
      </c>
      <c r="B41" t="s">
        <v>11</v>
      </c>
      <c r="C41" t="s">
        <v>8</v>
      </c>
      <c r="D41" t="s">
        <v>9</v>
      </c>
      <c r="E41">
        <v>150</v>
      </c>
      <c r="F41">
        <v>92</v>
      </c>
    </row>
    <row r="42" spans="1:6" x14ac:dyDescent="0.3">
      <c r="A42" t="s">
        <v>63</v>
      </c>
      <c r="B42" t="s">
        <v>38</v>
      </c>
      <c r="C42" t="s">
        <v>8</v>
      </c>
      <c r="D42" t="s">
        <v>24</v>
      </c>
      <c r="E42">
        <v>106</v>
      </c>
      <c r="F42">
        <v>94</v>
      </c>
    </row>
    <row r="43" spans="1:6" x14ac:dyDescent="0.3">
      <c r="A43" t="s">
        <v>64</v>
      </c>
      <c r="B43" t="s">
        <v>38</v>
      </c>
      <c r="C43" t="s">
        <v>8</v>
      </c>
      <c r="D43" t="s">
        <v>9</v>
      </c>
      <c r="E43">
        <v>111</v>
      </c>
      <c r="F43">
        <v>96</v>
      </c>
    </row>
    <row r="44" spans="1:6" x14ac:dyDescent="0.3">
      <c r="A44" t="s">
        <v>65</v>
      </c>
      <c r="B44" t="s">
        <v>54</v>
      </c>
      <c r="C44" t="s">
        <v>8</v>
      </c>
      <c r="D44" t="s">
        <v>15</v>
      </c>
      <c r="E44">
        <v>116</v>
      </c>
      <c r="F44">
        <v>95</v>
      </c>
    </row>
    <row r="45" spans="1:6" x14ac:dyDescent="0.3">
      <c r="A45" t="s">
        <v>66</v>
      </c>
      <c r="B45" t="s">
        <v>38</v>
      </c>
      <c r="C45" t="s">
        <v>8</v>
      </c>
      <c r="D45" t="s">
        <v>24</v>
      </c>
      <c r="E45">
        <v>123</v>
      </c>
      <c r="F45">
        <v>100</v>
      </c>
    </row>
    <row r="46" spans="1:6" x14ac:dyDescent="0.3">
      <c r="A46" t="s">
        <v>67</v>
      </c>
      <c r="B46" t="s">
        <v>44</v>
      </c>
      <c r="C46" t="s">
        <v>22</v>
      </c>
      <c r="D46" t="s">
        <v>9</v>
      </c>
      <c r="E46">
        <v>133</v>
      </c>
      <c r="F46">
        <v>99</v>
      </c>
    </row>
    <row r="47" spans="1:6" x14ac:dyDescent="0.3">
      <c r="A47" t="s">
        <v>68</v>
      </c>
      <c r="B47" t="s">
        <v>46</v>
      </c>
      <c r="C47" t="s">
        <v>14</v>
      </c>
      <c r="D47" t="s">
        <v>24</v>
      </c>
      <c r="E47">
        <v>113</v>
      </c>
      <c r="F47">
        <v>93</v>
      </c>
    </row>
    <row r="48" spans="1:6" x14ac:dyDescent="0.3">
      <c r="A48" t="s">
        <v>69</v>
      </c>
      <c r="B48" t="s">
        <v>30</v>
      </c>
      <c r="C48" t="s">
        <v>14</v>
      </c>
      <c r="D48" t="s">
        <v>24</v>
      </c>
      <c r="E48">
        <v>128</v>
      </c>
      <c r="F48">
        <v>99</v>
      </c>
    </row>
    <row r="49" spans="1:6" x14ac:dyDescent="0.3">
      <c r="A49" t="s">
        <v>70</v>
      </c>
      <c r="B49" t="s">
        <v>44</v>
      </c>
      <c r="C49" t="s">
        <v>22</v>
      </c>
      <c r="D49" t="s">
        <v>15</v>
      </c>
      <c r="E49">
        <v>133</v>
      </c>
      <c r="F49">
        <v>96</v>
      </c>
    </row>
    <row r="50" spans="1:6" x14ac:dyDescent="0.3">
      <c r="A50" t="s">
        <v>71</v>
      </c>
      <c r="B50" t="s">
        <v>46</v>
      </c>
      <c r="C50" t="s">
        <v>8</v>
      </c>
      <c r="D50" t="s">
        <v>15</v>
      </c>
      <c r="E50">
        <v>108</v>
      </c>
      <c r="F50">
        <v>92</v>
      </c>
    </row>
    <row r="51" spans="1:6" x14ac:dyDescent="0.3">
      <c r="A51" t="s">
        <v>72</v>
      </c>
      <c r="B51" t="s">
        <v>19</v>
      </c>
      <c r="C51" t="s">
        <v>14</v>
      </c>
      <c r="D51" t="s">
        <v>15</v>
      </c>
      <c r="E51">
        <v>85</v>
      </c>
      <c r="F51">
        <v>96</v>
      </c>
    </row>
    <row r="52" spans="1:6" x14ac:dyDescent="0.3">
      <c r="A52" t="s">
        <v>73</v>
      </c>
      <c r="B52" t="s">
        <v>7</v>
      </c>
      <c r="C52" t="s">
        <v>14</v>
      </c>
      <c r="D52" t="s">
        <v>24</v>
      </c>
      <c r="E52">
        <v>108</v>
      </c>
      <c r="F52">
        <v>99</v>
      </c>
    </row>
    <row r="53" spans="1:6" x14ac:dyDescent="0.3">
      <c r="A53" t="s">
        <v>74</v>
      </c>
      <c r="B53" t="s">
        <v>30</v>
      </c>
      <c r="C53" t="s">
        <v>22</v>
      </c>
      <c r="D53" t="s">
        <v>12</v>
      </c>
      <c r="E53">
        <v>108</v>
      </c>
      <c r="F53">
        <v>100</v>
      </c>
    </row>
    <row r="54" spans="1:6" x14ac:dyDescent="0.3">
      <c r="A54" t="s">
        <v>75</v>
      </c>
      <c r="B54" t="s">
        <v>30</v>
      </c>
      <c r="C54" t="s">
        <v>14</v>
      </c>
      <c r="D54" t="s">
        <v>24</v>
      </c>
      <c r="E54">
        <v>115</v>
      </c>
      <c r="F54">
        <v>98</v>
      </c>
    </row>
    <row r="55" spans="1:6" x14ac:dyDescent="0.3">
      <c r="A55" t="s">
        <v>76</v>
      </c>
      <c r="B55" t="s">
        <v>7</v>
      </c>
      <c r="C55" t="s">
        <v>22</v>
      </c>
      <c r="D55" t="s">
        <v>9</v>
      </c>
      <c r="E55">
        <v>122</v>
      </c>
      <c r="F55">
        <v>100</v>
      </c>
    </row>
    <row r="56" spans="1:6" x14ac:dyDescent="0.3">
      <c r="A56" t="s">
        <v>77</v>
      </c>
      <c r="B56" t="s">
        <v>54</v>
      </c>
      <c r="C56" t="s">
        <v>14</v>
      </c>
      <c r="D56" t="s">
        <v>24</v>
      </c>
      <c r="E56">
        <v>87</v>
      </c>
      <c r="F56">
        <v>94</v>
      </c>
    </row>
    <row r="57" spans="1:6" x14ac:dyDescent="0.3">
      <c r="A57" t="s">
        <v>78</v>
      </c>
      <c r="B57" t="s">
        <v>46</v>
      </c>
      <c r="C57" t="s">
        <v>22</v>
      </c>
      <c r="D57" t="s">
        <v>12</v>
      </c>
      <c r="E57">
        <v>90</v>
      </c>
      <c r="F57">
        <v>97</v>
      </c>
    </row>
    <row r="58" spans="1:6" x14ac:dyDescent="0.3">
      <c r="A58" t="s">
        <v>79</v>
      </c>
      <c r="B58" t="s">
        <v>7</v>
      </c>
      <c r="C58" t="s">
        <v>8</v>
      </c>
      <c r="D58" t="s">
        <v>9</v>
      </c>
      <c r="E58">
        <v>88</v>
      </c>
      <c r="F58">
        <v>100</v>
      </c>
    </row>
    <row r="59" spans="1:6" x14ac:dyDescent="0.3">
      <c r="A59" t="s">
        <v>80</v>
      </c>
      <c r="B59" t="s">
        <v>46</v>
      </c>
      <c r="C59" t="s">
        <v>14</v>
      </c>
      <c r="D59" t="s">
        <v>9</v>
      </c>
      <c r="E59">
        <v>103</v>
      </c>
      <c r="F59">
        <v>97</v>
      </c>
    </row>
    <row r="60" spans="1:6" x14ac:dyDescent="0.3">
      <c r="A60" t="s">
        <v>81</v>
      </c>
      <c r="B60" t="s">
        <v>19</v>
      </c>
      <c r="C60" t="s">
        <v>8</v>
      </c>
      <c r="D60" t="s">
        <v>12</v>
      </c>
      <c r="E60">
        <v>129</v>
      </c>
      <c r="F60">
        <v>97</v>
      </c>
    </row>
    <row r="61" spans="1:6" x14ac:dyDescent="0.3">
      <c r="A61" t="s">
        <v>82</v>
      </c>
      <c r="B61" t="s">
        <v>54</v>
      </c>
      <c r="C61" t="s">
        <v>8</v>
      </c>
      <c r="D61" t="s">
        <v>12</v>
      </c>
      <c r="E61">
        <v>83</v>
      </c>
      <c r="F61">
        <v>94</v>
      </c>
    </row>
    <row r="62" spans="1:6" x14ac:dyDescent="0.3">
      <c r="A62" t="s">
        <v>83</v>
      </c>
      <c r="B62" t="s">
        <v>33</v>
      </c>
      <c r="C62" t="s">
        <v>8</v>
      </c>
      <c r="D62" t="s">
        <v>24</v>
      </c>
      <c r="E62">
        <v>85</v>
      </c>
      <c r="F62">
        <v>98</v>
      </c>
    </row>
    <row r="63" spans="1:6" x14ac:dyDescent="0.3">
      <c r="A63" t="s">
        <v>84</v>
      </c>
      <c r="B63" t="s">
        <v>38</v>
      </c>
      <c r="C63" t="s">
        <v>14</v>
      </c>
      <c r="D63" t="s">
        <v>9</v>
      </c>
      <c r="E63">
        <v>83</v>
      </c>
      <c r="F63">
        <v>99</v>
      </c>
    </row>
    <row r="64" spans="1:6" x14ac:dyDescent="0.3">
      <c r="A64" t="s">
        <v>85</v>
      </c>
      <c r="B64" t="s">
        <v>46</v>
      </c>
      <c r="C64" t="s">
        <v>14</v>
      </c>
      <c r="D64" t="s">
        <v>12</v>
      </c>
      <c r="E64">
        <v>137</v>
      </c>
      <c r="F64">
        <v>100</v>
      </c>
    </row>
    <row r="65" spans="1:6" x14ac:dyDescent="0.3">
      <c r="A65" t="s">
        <v>86</v>
      </c>
      <c r="B65" t="s">
        <v>17</v>
      </c>
      <c r="C65" t="s">
        <v>14</v>
      </c>
      <c r="D65" t="s">
        <v>15</v>
      </c>
      <c r="E65">
        <v>145</v>
      </c>
      <c r="F65">
        <v>92</v>
      </c>
    </row>
    <row r="66" spans="1:6" x14ac:dyDescent="0.3">
      <c r="A66" t="s">
        <v>87</v>
      </c>
      <c r="B66" t="s">
        <v>54</v>
      </c>
      <c r="C66" t="s">
        <v>8</v>
      </c>
      <c r="D66" t="s">
        <v>24</v>
      </c>
      <c r="E66">
        <v>117</v>
      </c>
      <c r="F66">
        <v>98</v>
      </c>
    </row>
    <row r="67" spans="1:6" x14ac:dyDescent="0.3">
      <c r="A67" t="s">
        <v>88</v>
      </c>
      <c r="B67" t="s">
        <v>44</v>
      </c>
      <c r="C67" t="s">
        <v>22</v>
      </c>
      <c r="D67" t="s">
        <v>15</v>
      </c>
      <c r="E67">
        <v>118</v>
      </c>
      <c r="F67">
        <v>94</v>
      </c>
    </row>
    <row r="68" spans="1:6" x14ac:dyDescent="0.3">
      <c r="A68" t="s">
        <v>89</v>
      </c>
      <c r="B68" t="s">
        <v>38</v>
      </c>
      <c r="C68" t="s">
        <v>22</v>
      </c>
      <c r="D68" t="s">
        <v>15</v>
      </c>
      <c r="E68">
        <v>139</v>
      </c>
      <c r="F68">
        <v>92</v>
      </c>
    </row>
    <row r="69" spans="1:6" x14ac:dyDescent="0.3">
      <c r="A69" t="s">
        <v>90</v>
      </c>
      <c r="B69" t="s">
        <v>17</v>
      </c>
      <c r="C69" t="s">
        <v>22</v>
      </c>
      <c r="D69" t="s">
        <v>12</v>
      </c>
      <c r="E69">
        <v>133</v>
      </c>
      <c r="F69">
        <v>96</v>
      </c>
    </row>
    <row r="70" spans="1:6" x14ac:dyDescent="0.3">
      <c r="A70" t="s">
        <v>91</v>
      </c>
      <c r="B70" t="s">
        <v>11</v>
      </c>
      <c r="C70" t="s">
        <v>14</v>
      </c>
      <c r="D70" t="s">
        <v>9</v>
      </c>
      <c r="E70">
        <v>115</v>
      </c>
      <c r="F70">
        <v>97</v>
      </c>
    </row>
    <row r="71" spans="1:6" x14ac:dyDescent="0.3">
      <c r="A71" t="s">
        <v>92</v>
      </c>
      <c r="B71" t="s">
        <v>46</v>
      </c>
      <c r="C71" t="s">
        <v>14</v>
      </c>
      <c r="D71" t="s">
        <v>9</v>
      </c>
      <c r="E71">
        <v>111</v>
      </c>
      <c r="F71">
        <v>96</v>
      </c>
    </row>
    <row r="72" spans="1:6" x14ac:dyDescent="0.3">
      <c r="A72" t="s">
        <v>93</v>
      </c>
      <c r="B72" t="s">
        <v>38</v>
      </c>
      <c r="C72" t="s">
        <v>22</v>
      </c>
      <c r="D72" t="s">
        <v>24</v>
      </c>
      <c r="E72">
        <v>107</v>
      </c>
      <c r="F72">
        <v>97</v>
      </c>
    </row>
    <row r="73" spans="1:6" x14ac:dyDescent="0.3">
      <c r="A73" t="s">
        <v>94</v>
      </c>
      <c r="B73" t="s">
        <v>38</v>
      </c>
      <c r="C73" t="s">
        <v>14</v>
      </c>
      <c r="D73" t="s">
        <v>15</v>
      </c>
      <c r="E73">
        <v>115</v>
      </c>
      <c r="F73">
        <v>95</v>
      </c>
    </row>
    <row r="74" spans="1:6" x14ac:dyDescent="0.3">
      <c r="A74" t="s">
        <v>95</v>
      </c>
      <c r="B74" t="s">
        <v>11</v>
      </c>
      <c r="C74" t="s">
        <v>14</v>
      </c>
      <c r="D74" t="s">
        <v>12</v>
      </c>
      <c r="E74">
        <v>119</v>
      </c>
      <c r="F74">
        <v>98</v>
      </c>
    </row>
    <row r="75" spans="1:6" x14ac:dyDescent="0.3">
      <c r="A75" t="s">
        <v>96</v>
      </c>
      <c r="B75" t="s">
        <v>19</v>
      </c>
      <c r="C75" t="s">
        <v>22</v>
      </c>
      <c r="D75" t="s">
        <v>12</v>
      </c>
      <c r="E75">
        <v>139</v>
      </c>
      <c r="F75">
        <v>95</v>
      </c>
    </row>
    <row r="76" spans="1:6" x14ac:dyDescent="0.3">
      <c r="A76" t="s">
        <v>97</v>
      </c>
      <c r="B76" t="s">
        <v>17</v>
      </c>
      <c r="C76" t="s">
        <v>8</v>
      </c>
      <c r="D76" t="s">
        <v>9</v>
      </c>
      <c r="E76">
        <v>122</v>
      </c>
      <c r="F76">
        <v>98</v>
      </c>
    </row>
    <row r="77" spans="1:6" x14ac:dyDescent="0.3">
      <c r="A77" t="s">
        <v>98</v>
      </c>
      <c r="B77" t="s">
        <v>44</v>
      </c>
      <c r="C77" t="s">
        <v>22</v>
      </c>
      <c r="D77" t="s">
        <v>9</v>
      </c>
      <c r="E77">
        <v>125</v>
      </c>
      <c r="F77">
        <v>92</v>
      </c>
    </row>
    <row r="78" spans="1:6" x14ac:dyDescent="0.3">
      <c r="A78" t="s">
        <v>99</v>
      </c>
      <c r="B78" t="s">
        <v>44</v>
      </c>
      <c r="C78" t="s">
        <v>14</v>
      </c>
      <c r="D78" t="s">
        <v>12</v>
      </c>
      <c r="E78">
        <v>97</v>
      </c>
      <c r="F78">
        <v>97</v>
      </c>
    </row>
    <row r="79" spans="1:6" x14ac:dyDescent="0.3">
      <c r="A79" t="s">
        <v>100</v>
      </c>
      <c r="B79" t="s">
        <v>38</v>
      </c>
      <c r="C79" t="s">
        <v>22</v>
      </c>
      <c r="D79" t="s">
        <v>9</v>
      </c>
      <c r="E79">
        <v>136</v>
      </c>
      <c r="F79">
        <v>99</v>
      </c>
    </row>
    <row r="80" spans="1:6" x14ac:dyDescent="0.3">
      <c r="A80" t="s">
        <v>101</v>
      </c>
      <c r="B80" t="s">
        <v>54</v>
      </c>
      <c r="C80" t="s">
        <v>14</v>
      </c>
      <c r="D80" t="s">
        <v>9</v>
      </c>
      <c r="E80">
        <v>139</v>
      </c>
      <c r="F80">
        <v>94</v>
      </c>
    </row>
    <row r="81" spans="1:6" x14ac:dyDescent="0.3">
      <c r="A81" t="s">
        <v>102</v>
      </c>
      <c r="B81" t="s">
        <v>33</v>
      </c>
      <c r="C81" t="s">
        <v>22</v>
      </c>
      <c r="D81" t="s">
        <v>24</v>
      </c>
      <c r="E81">
        <v>150</v>
      </c>
      <c r="F81">
        <v>95</v>
      </c>
    </row>
    <row r="82" spans="1:6" x14ac:dyDescent="0.3">
      <c r="A82" t="s">
        <v>103</v>
      </c>
      <c r="B82" t="s">
        <v>11</v>
      </c>
      <c r="C82" t="s">
        <v>14</v>
      </c>
      <c r="D82" t="s">
        <v>24</v>
      </c>
      <c r="E82">
        <v>130</v>
      </c>
      <c r="F82">
        <v>94</v>
      </c>
    </row>
    <row r="83" spans="1:6" x14ac:dyDescent="0.3">
      <c r="A83" t="s">
        <v>104</v>
      </c>
      <c r="B83" t="s">
        <v>54</v>
      </c>
      <c r="C83" t="s">
        <v>8</v>
      </c>
      <c r="D83" t="s">
        <v>12</v>
      </c>
      <c r="E83">
        <v>82</v>
      </c>
      <c r="F83">
        <v>95</v>
      </c>
    </row>
    <row r="84" spans="1:6" x14ac:dyDescent="0.3">
      <c r="A84" t="s">
        <v>105</v>
      </c>
      <c r="B84" t="s">
        <v>46</v>
      </c>
      <c r="C84" t="s">
        <v>8</v>
      </c>
      <c r="D84" t="s">
        <v>24</v>
      </c>
      <c r="E84">
        <v>128</v>
      </c>
      <c r="F84">
        <v>95</v>
      </c>
    </row>
    <row r="85" spans="1:6" x14ac:dyDescent="0.3">
      <c r="A85" t="s">
        <v>106</v>
      </c>
      <c r="B85" t="s">
        <v>19</v>
      </c>
      <c r="C85" t="s">
        <v>22</v>
      </c>
      <c r="D85" t="s">
        <v>12</v>
      </c>
      <c r="E85">
        <v>125</v>
      </c>
      <c r="F85">
        <v>94</v>
      </c>
    </row>
    <row r="86" spans="1:6" x14ac:dyDescent="0.3">
      <c r="A86" t="s">
        <v>107</v>
      </c>
      <c r="B86" t="s">
        <v>46</v>
      </c>
      <c r="C86" t="s">
        <v>14</v>
      </c>
      <c r="D86" t="s">
        <v>12</v>
      </c>
      <c r="E86">
        <v>118</v>
      </c>
      <c r="F86">
        <v>95</v>
      </c>
    </row>
    <row r="87" spans="1:6" x14ac:dyDescent="0.3">
      <c r="A87" t="s">
        <v>108</v>
      </c>
      <c r="B87" t="s">
        <v>30</v>
      </c>
      <c r="C87" t="s">
        <v>22</v>
      </c>
      <c r="D87" t="s">
        <v>24</v>
      </c>
      <c r="E87">
        <v>86</v>
      </c>
      <c r="F87">
        <v>94</v>
      </c>
    </row>
    <row r="88" spans="1:6" x14ac:dyDescent="0.3">
      <c r="A88" t="s">
        <v>109</v>
      </c>
      <c r="B88" t="s">
        <v>11</v>
      </c>
      <c r="C88" t="s">
        <v>8</v>
      </c>
      <c r="D88" t="s">
        <v>12</v>
      </c>
      <c r="E88">
        <v>137</v>
      </c>
      <c r="F88">
        <v>95</v>
      </c>
    </row>
    <row r="89" spans="1:6" x14ac:dyDescent="0.3">
      <c r="A89" t="s">
        <v>110</v>
      </c>
      <c r="B89" t="s">
        <v>38</v>
      </c>
      <c r="C89" t="s">
        <v>14</v>
      </c>
      <c r="D89" t="s">
        <v>9</v>
      </c>
      <c r="E89">
        <v>85</v>
      </c>
      <c r="F89">
        <v>97</v>
      </c>
    </row>
    <row r="90" spans="1:6" x14ac:dyDescent="0.3">
      <c r="A90" t="s">
        <v>111</v>
      </c>
      <c r="B90" t="s">
        <v>7</v>
      </c>
      <c r="C90" t="s">
        <v>14</v>
      </c>
      <c r="D90" t="s">
        <v>15</v>
      </c>
      <c r="E90">
        <v>85</v>
      </c>
      <c r="F90">
        <v>97</v>
      </c>
    </row>
    <row r="91" spans="1:6" x14ac:dyDescent="0.3">
      <c r="A91" t="s">
        <v>112</v>
      </c>
      <c r="B91" t="s">
        <v>54</v>
      </c>
      <c r="C91" t="s">
        <v>14</v>
      </c>
      <c r="D91" t="s">
        <v>15</v>
      </c>
      <c r="E91">
        <v>148</v>
      </c>
      <c r="F91">
        <v>98</v>
      </c>
    </row>
    <row r="92" spans="1:6" x14ac:dyDescent="0.3">
      <c r="A92" t="s">
        <v>113</v>
      </c>
      <c r="B92" t="s">
        <v>7</v>
      </c>
      <c r="C92" t="s">
        <v>8</v>
      </c>
      <c r="D92" t="s">
        <v>12</v>
      </c>
      <c r="E92">
        <v>130</v>
      </c>
      <c r="F92">
        <v>98</v>
      </c>
    </row>
    <row r="93" spans="1:6" x14ac:dyDescent="0.3">
      <c r="A93" t="s">
        <v>114</v>
      </c>
      <c r="B93" t="s">
        <v>54</v>
      </c>
      <c r="C93" t="s">
        <v>22</v>
      </c>
      <c r="D93" t="s">
        <v>15</v>
      </c>
      <c r="E93">
        <v>113</v>
      </c>
      <c r="F93">
        <v>98</v>
      </c>
    </row>
    <row r="94" spans="1:6" x14ac:dyDescent="0.3">
      <c r="A94" t="s">
        <v>115</v>
      </c>
      <c r="B94" t="s">
        <v>7</v>
      </c>
      <c r="C94" t="s">
        <v>8</v>
      </c>
      <c r="D94" t="s">
        <v>24</v>
      </c>
      <c r="E94">
        <v>125</v>
      </c>
      <c r="F94">
        <v>96</v>
      </c>
    </row>
    <row r="95" spans="1:6" x14ac:dyDescent="0.3">
      <c r="A95" t="s">
        <v>116</v>
      </c>
      <c r="B95" t="s">
        <v>38</v>
      </c>
      <c r="C95" t="s">
        <v>14</v>
      </c>
      <c r="D95" t="s">
        <v>15</v>
      </c>
      <c r="E95">
        <v>139</v>
      </c>
      <c r="F95">
        <v>97</v>
      </c>
    </row>
    <row r="96" spans="1:6" x14ac:dyDescent="0.3">
      <c r="A96" t="s">
        <v>117</v>
      </c>
      <c r="B96" t="s">
        <v>17</v>
      </c>
      <c r="C96" t="s">
        <v>14</v>
      </c>
      <c r="D96" t="s">
        <v>24</v>
      </c>
      <c r="E96">
        <v>83</v>
      </c>
      <c r="F96">
        <v>98</v>
      </c>
    </row>
    <row r="97" spans="1:6" x14ac:dyDescent="0.3">
      <c r="A97" t="s">
        <v>118</v>
      </c>
      <c r="B97" t="s">
        <v>17</v>
      </c>
      <c r="C97" t="s">
        <v>8</v>
      </c>
      <c r="D97" t="s">
        <v>12</v>
      </c>
      <c r="E97">
        <v>140</v>
      </c>
      <c r="F97">
        <v>97</v>
      </c>
    </row>
    <row r="98" spans="1:6" x14ac:dyDescent="0.3">
      <c r="A98" t="s">
        <v>119</v>
      </c>
      <c r="B98" t="s">
        <v>30</v>
      </c>
      <c r="C98" t="s">
        <v>22</v>
      </c>
      <c r="D98" t="s">
        <v>15</v>
      </c>
      <c r="E98">
        <v>121</v>
      </c>
      <c r="F98">
        <v>93</v>
      </c>
    </row>
    <row r="99" spans="1:6" x14ac:dyDescent="0.3">
      <c r="A99" t="s">
        <v>120</v>
      </c>
      <c r="B99" t="s">
        <v>19</v>
      </c>
      <c r="C99" t="s">
        <v>14</v>
      </c>
      <c r="D99" t="s">
        <v>24</v>
      </c>
      <c r="E99">
        <v>107</v>
      </c>
      <c r="F99">
        <v>98</v>
      </c>
    </row>
    <row r="100" spans="1:6" x14ac:dyDescent="0.3">
      <c r="A100" t="s">
        <v>121</v>
      </c>
      <c r="B100" t="s">
        <v>11</v>
      </c>
      <c r="C100" t="s">
        <v>22</v>
      </c>
      <c r="D100" t="s">
        <v>24</v>
      </c>
      <c r="E100">
        <v>110</v>
      </c>
      <c r="F100">
        <v>97</v>
      </c>
    </row>
    <row r="101" spans="1:6" x14ac:dyDescent="0.3">
      <c r="A101" t="s">
        <v>122</v>
      </c>
      <c r="B101" t="s">
        <v>7</v>
      </c>
      <c r="C101" t="s">
        <v>8</v>
      </c>
      <c r="D101" t="s">
        <v>15</v>
      </c>
      <c r="E101">
        <v>133</v>
      </c>
      <c r="F101">
        <v>99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selection activeCell="D6" sqref="D6"/>
    </sheetView>
  </sheetViews>
  <sheetFormatPr defaultRowHeight="14.4" x14ac:dyDescent="0.3"/>
  <cols>
    <col min="1" max="1" width="31.77734375" customWidth="1"/>
    <col min="2" max="2" width="25" customWidth="1"/>
    <col min="3" max="3" width="19.6640625" customWidth="1"/>
    <col min="4" max="4" width="24.5546875" customWidth="1"/>
  </cols>
  <sheetData>
    <row r="1" spans="1:8" ht="23.4" x14ac:dyDescent="0.45">
      <c r="A1" s="14" t="s">
        <v>139</v>
      </c>
      <c r="B1" s="15"/>
      <c r="C1" s="15"/>
      <c r="D1" s="15"/>
      <c r="E1" s="15"/>
      <c r="F1" s="15"/>
      <c r="G1" s="15"/>
      <c r="H1" s="15"/>
    </row>
    <row r="5" spans="1:8" ht="15.6" x14ac:dyDescent="0.3">
      <c r="A5" s="9" t="s">
        <v>123</v>
      </c>
      <c r="B5" s="9" t="s">
        <v>124</v>
      </c>
      <c r="C5" s="9" t="s">
        <v>125</v>
      </c>
      <c r="D5" s="9" t="s">
        <v>126</v>
      </c>
    </row>
    <row r="6" spans="1:8" ht="21" x14ac:dyDescent="0.4">
      <c r="A6" s="10">
        <f>SUM(Raw_Data!E2:E101)</f>
        <v>11582</v>
      </c>
      <c r="B6" s="11">
        <f>AVERAGE(Raw_Data!F2:F101)</f>
        <v>96.19</v>
      </c>
      <c r="C6" s="12">
        <f>MAX(Raw_Data!F2:F101)</f>
        <v>100</v>
      </c>
      <c r="D6" s="13">
        <f>MIN(Raw_Data!F2:F101)</f>
        <v>92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A4" sqref="A4:C4"/>
      <pivotSelection pane="bottomRight" showHeader="1" extendable="1" axis="axisRow" max="4" activeRow="3" previousRow="3" click="1" r:id="rId1">
        <pivotArea dataOnly="0" fieldPosition="0">
          <references count="1">
            <reference field="2" count="1">
              <x v="0"/>
            </reference>
          </references>
        </pivotArea>
      </pivotSelection>
    </sheetView>
  </sheetViews>
  <sheetFormatPr defaultRowHeight="14.4" x14ac:dyDescent="0.3"/>
  <cols>
    <col min="1" max="1" width="12.5546875" bestFit="1" customWidth="1"/>
    <col min="2" max="2" width="21.5546875" bestFit="1" customWidth="1"/>
    <col min="3" max="3" width="29.109375" customWidth="1"/>
  </cols>
  <sheetData>
    <row r="1" spans="1:3" x14ac:dyDescent="0.3">
      <c r="A1" t="s">
        <v>132</v>
      </c>
    </row>
    <row r="3" spans="1:3" x14ac:dyDescent="0.3">
      <c r="A3" s="4" t="s">
        <v>127</v>
      </c>
      <c r="B3" t="s">
        <v>129</v>
      </c>
      <c r="C3" t="s">
        <v>130</v>
      </c>
    </row>
    <row r="4" spans="1:3" x14ac:dyDescent="0.3">
      <c r="A4" s="5" t="s">
        <v>14</v>
      </c>
      <c r="B4" s="6">
        <v>4527</v>
      </c>
      <c r="C4" s="8">
        <v>96.317073170731703</v>
      </c>
    </row>
    <row r="5" spans="1:3" x14ac:dyDescent="0.3">
      <c r="A5" s="5" t="s">
        <v>22</v>
      </c>
      <c r="B5" s="6">
        <v>2873</v>
      </c>
      <c r="C5" s="8">
        <v>96.125</v>
      </c>
    </row>
    <row r="6" spans="1:3" x14ac:dyDescent="0.3">
      <c r="A6" s="5" t="s">
        <v>8</v>
      </c>
      <c r="B6" s="6">
        <v>4182</v>
      </c>
      <c r="C6" s="8">
        <v>96.085714285714289</v>
      </c>
    </row>
    <row r="7" spans="1:3" x14ac:dyDescent="0.3">
      <c r="A7" s="5" t="s">
        <v>128</v>
      </c>
      <c r="B7" s="6">
        <v>11582</v>
      </c>
      <c r="C7" s="6">
        <v>96.19</v>
      </c>
    </row>
    <row r="11" spans="1:3" x14ac:dyDescent="0.3">
      <c r="A11" s="5" t="s">
        <v>14</v>
      </c>
      <c r="B11" s="6">
        <v>4527</v>
      </c>
    </row>
    <row r="12" spans="1:3" x14ac:dyDescent="0.3">
      <c r="A12" s="5" t="s">
        <v>22</v>
      </c>
      <c r="B12" s="6">
        <v>2873</v>
      </c>
    </row>
    <row r="13" spans="1:3" x14ac:dyDescent="0.3">
      <c r="A13" s="5" t="s">
        <v>8</v>
      </c>
      <c r="B13" s="6">
        <v>4182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E17" sqref="E17"/>
    </sheetView>
  </sheetViews>
  <sheetFormatPr defaultRowHeight="14.4" x14ac:dyDescent="0.3"/>
  <cols>
    <col min="1" max="1" width="12.5546875" bestFit="1" customWidth="1"/>
    <col min="2" max="2" width="21.5546875" bestFit="1" customWidth="1"/>
    <col min="3" max="3" width="29.109375" bestFit="1" customWidth="1"/>
  </cols>
  <sheetData>
    <row r="1" spans="1:3" x14ac:dyDescent="0.3">
      <c r="A1" t="s">
        <v>133</v>
      </c>
    </row>
    <row r="3" spans="1:3" x14ac:dyDescent="0.3">
      <c r="A3" s="4" t="s">
        <v>127</v>
      </c>
      <c r="B3" t="s">
        <v>129</v>
      </c>
      <c r="C3" t="s">
        <v>130</v>
      </c>
    </row>
    <row r="4" spans="1:3" x14ac:dyDescent="0.3">
      <c r="A4" s="5" t="s">
        <v>9</v>
      </c>
      <c r="B4" s="6">
        <v>3195</v>
      </c>
      <c r="C4" s="6">
        <v>96.071428571428569</v>
      </c>
    </row>
    <row r="5" spans="1:3" x14ac:dyDescent="0.3">
      <c r="A5" s="5" t="s">
        <v>12</v>
      </c>
      <c r="B5" s="6">
        <v>1899</v>
      </c>
      <c r="C5" s="6">
        <v>96.5</v>
      </c>
    </row>
    <row r="6" spans="1:3" x14ac:dyDescent="0.3">
      <c r="A6" s="5" t="s">
        <v>15</v>
      </c>
      <c r="B6" s="6">
        <v>3690</v>
      </c>
      <c r="C6" s="6">
        <v>96</v>
      </c>
    </row>
    <row r="7" spans="1:3" x14ac:dyDescent="0.3">
      <c r="A7" s="5" t="s">
        <v>24</v>
      </c>
      <c r="B7" s="6">
        <v>2798</v>
      </c>
      <c r="C7" s="6">
        <v>96.36</v>
      </c>
    </row>
    <row r="8" spans="1:3" x14ac:dyDescent="0.3">
      <c r="A8" s="5" t="s">
        <v>128</v>
      </c>
      <c r="B8" s="6">
        <v>11582</v>
      </c>
      <c r="C8" s="6">
        <v>96.19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A6" sqref="A5:A7"/>
      <pivotSelection pane="bottomRight" showHeader="1" axis="axisRow" activeRow="5" previousRow="5" click="1" r:id="rId1">
        <pivotArea dataOnly="0" labelOnly="1" fieldPosition="0">
          <references count="1">
            <reference field="2" count="0"/>
          </references>
        </pivotArea>
      </pivotSelection>
    </sheetView>
  </sheetViews>
  <sheetFormatPr defaultRowHeight="14.4" x14ac:dyDescent="0.3"/>
  <cols>
    <col min="1" max="1" width="21.5546875" customWidth="1"/>
    <col min="2" max="2" width="15.5546875" customWidth="1"/>
    <col min="3" max="5" width="7.21875" customWidth="1"/>
    <col min="6" max="6" width="10.77734375" bestFit="1" customWidth="1"/>
  </cols>
  <sheetData>
    <row r="1" spans="1:6" x14ac:dyDescent="0.3">
      <c r="A1" t="s">
        <v>134</v>
      </c>
    </row>
    <row r="3" spans="1:6" x14ac:dyDescent="0.3">
      <c r="A3" s="4" t="s">
        <v>129</v>
      </c>
      <c r="B3" s="4" t="s">
        <v>131</v>
      </c>
    </row>
    <row r="4" spans="1:6" x14ac:dyDescent="0.3">
      <c r="A4" s="4" t="s">
        <v>127</v>
      </c>
      <c r="B4" t="s">
        <v>9</v>
      </c>
      <c r="C4" t="s">
        <v>12</v>
      </c>
      <c r="D4" t="s">
        <v>15</v>
      </c>
      <c r="E4" t="s">
        <v>24</v>
      </c>
      <c r="F4" t="s">
        <v>128</v>
      </c>
    </row>
    <row r="5" spans="1:6" x14ac:dyDescent="0.3">
      <c r="A5" s="5" t="s">
        <v>14</v>
      </c>
      <c r="B5" s="6">
        <v>1373</v>
      </c>
      <c r="C5" s="6">
        <v>471</v>
      </c>
      <c r="D5" s="6">
        <v>1370</v>
      </c>
      <c r="E5" s="6">
        <v>1313</v>
      </c>
      <c r="F5" s="6">
        <v>4527</v>
      </c>
    </row>
    <row r="6" spans="1:6" x14ac:dyDescent="0.3">
      <c r="A6" s="5" t="s">
        <v>22</v>
      </c>
      <c r="B6" s="6">
        <v>770</v>
      </c>
      <c r="C6" s="6">
        <v>595</v>
      </c>
      <c r="D6" s="6">
        <v>1055</v>
      </c>
      <c r="E6" s="6">
        <v>453</v>
      </c>
      <c r="F6" s="6">
        <v>2873</v>
      </c>
    </row>
    <row r="7" spans="1:6" x14ac:dyDescent="0.3">
      <c r="A7" s="5" t="s">
        <v>8</v>
      </c>
      <c r="B7" s="6">
        <v>1052</v>
      </c>
      <c r="C7" s="6">
        <v>833</v>
      </c>
      <c r="D7" s="6">
        <v>1265</v>
      </c>
      <c r="E7" s="6">
        <v>1032</v>
      </c>
      <c r="F7" s="6">
        <v>4182</v>
      </c>
    </row>
    <row r="8" spans="1:6" x14ac:dyDescent="0.3">
      <c r="A8" s="5" t="s">
        <v>128</v>
      </c>
      <c r="B8" s="6">
        <v>3195</v>
      </c>
      <c r="C8" s="6">
        <v>1899</v>
      </c>
      <c r="D8" s="6">
        <v>3690</v>
      </c>
      <c r="E8" s="6">
        <v>2798</v>
      </c>
      <c r="F8" s="6">
        <v>11582</v>
      </c>
    </row>
  </sheetData>
  <conditionalFormatting pivot="1" sqref="B5:E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26"/>
  <sheetViews>
    <sheetView workbookViewId="0">
      <selection activeCell="F9" sqref="F9"/>
    </sheetView>
  </sheetViews>
  <sheetFormatPr defaultRowHeight="14.4" x14ac:dyDescent="0.3"/>
  <cols>
    <col min="2" max="2" width="17.109375" customWidth="1"/>
    <col min="3" max="3" width="21.5546875" customWidth="1"/>
    <col min="4" max="4" width="29.109375" style="8" customWidth="1"/>
    <col min="5" max="5" width="12.88671875" customWidth="1"/>
  </cols>
  <sheetData>
    <row r="3" spans="1:9" x14ac:dyDescent="0.3">
      <c r="A3" s="7" t="s">
        <v>140</v>
      </c>
      <c r="B3" s="4" t="s">
        <v>141</v>
      </c>
      <c r="C3" t="s">
        <v>129</v>
      </c>
      <c r="D3" s="8" t="s">
        <v>130</v>
      </c>
    </row>
    <row r="4" spans="1:9" x14ac:dyDescent="0.3">
      <c r="A4">
        <f t="shared" ref="A4:A13" si="0">RANK(C4,$C$4:$C$13,0)</f>
        <v>1</v>
      </c>
      <c r="B4" s="5" t="s">
        <v>38</v>
      </c>
      <c r="C4" s="6">
        <v>1865</v>
      </c>
      <c r="D4" s="8">
        <v>96</v>
      </c>
    </row>
    <row r="5" spans="1:9" x14ac:dyDescent="0.3">
      <c r="A5">
        <f t="shared" si="0"/>
        <v>2</v>
      </c>
      <c r="B5" s="5" t="s">
        <v>11</v>
      </c>
      <c r="C5" s="6">
        <v>1581</v>
      </c>
      <c r="D5" s="8">
        <v>96.692307692307693</v>
      </c>
    </row>
    <row r="6" spans="1:9" x14ac:dyDescent="0.3">
      <c r="A6">
        <f t="shared" si="0"/>
        <v>3</v>
      </c>
      <c r="B6" s="5" t="s">
        <v>19</v>
      </c>
      <c r="C6" s="6">
        <v>1460</v>
      </c>
      <c r="D6" s="8">
        <v>96.75</v>
      </c>
    </row>
    <row r="7" spans="1:9" x14ac:dyDescent="0.3">
      <c r="A7">
        <f t="shared" si="0"/>
        <v>4</v>
      </c>
      <c r="B7" s="5" t="s">
        <v>54</v>
      </c>
      <c r="C7" s="6">
        <v>1214</v>
      </c>
      <c r="D7" s="8">
        <v>96.090909090909093</v>
      </c>
    </row>
    <row r="8" spans="1:9" x14ac:dyDescent="0.3">
      <c r="A8">
        <f t="shared" si="0"/>
        <v>5</v>
      </c>
      <c r="B8" s="5" t="s">
        <v>7</v>
      </c>
      <c r="C8" s="6">
        <v>1108</v>
      </c>
      <c r="D8" s="8">
        <v>98.1</v>
      </c>
    </row>
    <row r="9" spans="1:9" x14ac:dyDescent="0.3">
      <c r="A9">
        <f t="shared" si="0"/>
        <v>6</v>
      </c>
      <c r="B9" s="5" t="s">
        <v>17</v>
      </c>
      <c r="C9" s="6">
        <v>1056</v>
      </c>
      <c r="D9" s="8">
        <v>95.111111111111114</v>
      </c>
    </row>
    <row r="10" spans="1:9" x14ac:dyDescent="0.3">
      <c r="A10">
        <f t="shared" si="0"/>
        <v>7</v>
      </c>
      <c r="B10" s="5" t="s">
        <v>46</v>
      </c>
      <c r="C10" s="6">
        <v>1024</v>
      </c>
      <c r="D10" s="8">
        <v>95.666666666666671</v>
      </c>
    </row>
    <row r="11" spans="1:9" x14ac:dyDescent="0.3">
      <c r="A11">
        <f t="shared" si="0"/>
        <v>8</v>
      </c>
      <c r="B11" s="5" t="s">
        <v>30</v>
      </c>
      <c r="C11" s="6">
        <v>935</v>
      </c>
      <c r="D11" s="8">
        <v>95.875</v>
      </c>
    </row>
    <row r="12" spans="1:9" x14ac:dyDescent="0.3">
      <c r="A12">
        <f t="shared" si="0"/>
        <v>9</v>
      </c>
      <c r="B12" s="5" t="s">
        <v>44</v>
      </c>
      <c r="C12" s="6">
        <v>694</v>
      </c>
      <c r="D12" s="8">
        <v>95.166666666666671</v>
      </c>
    </row>
    <row r="13" spans="1:9" x14ac:dyDescent="0.3">
      <c r="A13">
        <f t="shared" si="0"/>
        <v>10</v>
      </c>
      <c r="B13" s="5" t="s">
        <v>33</v>
      </c>
      <c r="C13" s="6">
        <v>645</v>
      </c>
      <c r="D13" s="8">
        <v>95.333333333333329</v>
      </c>
      <c r="I13" s="8"/>
    </row>
    <row r="14" spans="1:9" x14ac:dyDescent="0.3">
      <c r="B14" s="5" t="s">
        <v>128</v>
      </c>
      <c r="C14" s="6">
        <v>11582</v>
      </c>
      <c r="D14" s="8">
        <v>96.19</v>
      </c>
    </row>
    <row r="20" spans="1:3" x14ac:dyDescent="0.3">
      <c r="A20" s="1" t="s">
        <v>135</v>
      </c>
      <c r="C20" s="1"/>
    </row>
    <row r="22" spans="1:3" x14ac:dyDescent="0.3">
      <c r="A22" t="s">
        <v>136</v>
      </c>
    </row>
    <row r="24" spans="1:3" x14ac:dyDescent="0.3">
      <c r="A24" t="s">
        <v>137</v>
      </c>
    </row>
    <row r="26" spans="1:3" x14ac:dyDescent="0.3">
      <c r="A26" t="s">
        <v>138</v>
      </c>
    </row>
  </sheetData>
  <conditionalFormatting sqref="D1:D3 D15:D1048576">
    <cfRule type="top10" priority="7" rank="3"/>
  </conditionalFormatting>
  <conditionalFormatting sqref="A4:A13">
    <cfRule type="top10" priority="3" percent="1" rank="3"/>
    <cfRule type="top10" priority="4" rank="3"/>
    <cfRule type="expression" priority="2">
      <formula>$A4&lt;=3</formula>
    </cfRule>
    <cfRule type="expression" dxfId="2" priority="1">
      <formula>$A4&lt;=3</formula>
    </cfRule>
  </conditionalFormatting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Dashboard</vt:lpstr>
      <vt:lpstr>Dept_Analysis</vt:lpstr>
      <vt:lpstr>Weekly_Pivot</vt:lpstr>
      <vt:lpstr>Department_Week_Analysis</vt:lpstr>
      <vt:lpstr>Employee_Ranking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Keerthika</cp:lastModifiedBy>
  <dcterms:created xsi:type="dcterms:W3CDTF">2026-06-22T07:23:41Z</dcterms:created>
  <dcterms:modified xsi:type="dcterms:W3CDTF">2026-07-07T14:35:47Z</dcterms:modified>
</cp:coreProperties>
</file>